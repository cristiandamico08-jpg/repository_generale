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974\Desktop\repository_generale\5°anno\GPOI\"/>
    </mc:Choice>
  </mc:AlternateContent>
  <bookViews>
    <workbookView xWindow="0" yWindow="0" windowWidth="24000" windowHeight="95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8" i="1" l="1"/>
  <c r="P9" i="1"/>
  <c r="P10" i="1"/>
  <c r="P7" i="1"/>
  <c r="M8" i="1"/>
  <c r="M7" i="1"/>
  <c r="J8" i="1"/>
  <c r="J9" i="1"/>
  <c r="J10" i="1"/>
  <c r="J11" i="1"/>
  <c r="J12" i="1"/>
  <c r="J13" i="1"/>
  <c r="J14" i="1"/>
  <c r="J15" i="1"/>
  <c r="J16" i="1"/>
  <c r="J17" i="1"/>
  <c r="J18" i="1"/>
  <c r="J19" i="1"/>
  <c r="J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7" i="1"/>
</calcChain>
</file>

<file path=xl/sharedStrings.xml><?xml version="1.0" encoding="utf-8"?>
<sst xmlns="http://schemas.openxmlformats.org/spreadsheetml/2006/main" count="26" uniqueCount="18">
  <si>
    <t>p = 30 - (1/2)q</t>
  </si>
  <si>
    <t>p = 30 - 6q</t>
  </si>
  <si>
    <t>p = 30 -2q</t>
  </si>
  <si>
    <t>Prezzo</t>
  </si>
  <si>
    <t>Quantità</t>
  </si>
  <si>
    <t>q = 60 -2p</t>
  </si>
  <si>
    <t>q = 5 - (1/6)p</t>
  </si>
  <si>
    <t>q = 15 - (1/2)p</t>
  </si>
  <si>
    <t>Domanda di mercato =</t>
  </si>
  <si>
    <t>q1 + q2 + q3 + qn…</t>
  </si>
  <si>
    <t>q = (60 - 2p) + (5 - (1/6)p) + (15 - (1/2)p)</t>
  </si>
  <si>
    <t>q = -2p - (1/6)p -(1/2)p + 80</t>
  </si>
  <si>
    <t>p = 30 -(3/8)q</t>
  </si>
  <si>
    <t>q = 80 - (8/3)p</t>
  </si>
  <si>
    <t>Domanda di mercato</t>
  </si>
  <si>
    <t>Domanda 1</t>
  </si>
  <si>
    <t>Domanda 2</t>
  </si>
  <si>
    <t>Domanda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</si>
</sst>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Domanda di mercato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domanda di mercato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Foglio1!$A$7:$A$23</c:f>
              <c:numCache>
                <c:formatCode>General</c:formatCode>
                <c:ptCount val="1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</c:numCache>
            </c:numRef>
          </c:xVal>
          <c:yVal>
            <c:numRef>
              <c:f>Foglio1!$B$7:$B$23</c:f>
              <c:numCache>
                <c:formatCode>General</c:formatCode>
                <c:ptCount val="17"/>
                <c:pt idx="0">
                  <c:v>30</c:v>
                </c:pt>
                <c:pt idx="1">
                  <c:v>28.125</c:v>
                </c:pt>
                <c:pt idx="2">
                  <c:v>26.25</c:v>
                </c:pt>
                <c:pt idx="3">
                  <c:v>24.375</c:v>
                </c:pt>
                <c:pt idx="4">
                  <c:v>22.5</c:v>
                </c:pt>
                <c:pt idx="5">
                  <c:v>20.625</c:v>
                </c:pt>
                <c:pt idx="6">
                  <c:v>18.75</c:v>
                </c:pt>
                <c:pt idx="7">
                  <c:v>16.875</c:v>
                </c:pt>
                <c:pt idx="8">
                  <c:v>15</c:v>
                </c:pt>
                <c:pt idx="9">
                  <c:v>13.125</c:v>
                </c:pt>
                <c:pt idx="10">
                  <c:v>11.25</c:v>
                </c:pt>
                <c:pt idx="11">
                  <c:v>9.375</c:v>
                </c:pt>
                <c:pt idx="12">
                  <c:v>7.5</c:v>
                </c:pt>
                <c:pt idx="13">
                  <c:v>5.625</c:v>
                </c:pt>
                <c:pt idx="14">
                  <c:v>3.75</c:v>
                </c:pt>
                <c:pt idx="15">
                  <c:v>1.875</c:v>
                </c:pt>
                <c:pt idx="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CC6-4012-A632-7AF46654FC66}"/>
            </c:ext>
          </c:extLst>
        </c:ser>
        <c:ser>
          <c:idx val="1"/>
          <c:order val="1"/>
          <c:tx>
            <c:v>Domanda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Foglio1!$I$7:$I$19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xVal>
          <c:yVal>
            <c:numRef>
              <c:f>Foglio1!$J$7:$J$19</c:f>
              <c:numCache>
                <c:formatCode>General</c:formatCode>
                <c:ptCount val="13"/>
                <c:pt idx="0">
                  <c:v>30</c:v>
                </c:pt>
                <c:pt idx="1">
                  <c:v>27.5</c:v>
                </c:pt>
                <c:pt idx="2">
                  <c:v>25</c:v>
                </c:pt>
                <c:pt idx="3">
                  <c:v>22.5</c:v>
                </c:pt>
                <c:pt idx="4">
                  <c:v>20</c:v>
                </c:pt>
                <c:pt idx="5">
                  <c:v>17.5</c:v>
                </c:pt>
                <c:pt idx="6">
                  <c:v>15</c:v>
                </c:pt>
                <c:pt idx="7">
                  <c:v>12.5</c:v>
                </c:pt>
                <c:pt idx="8">
                  <c:v>10</c:v>
                </c:pt>
                <c:pt idx="9">
                  <c:v>7.5</c:v>
                </c:pt>
                <c:pt idx="10">
                  <c:v>5</c:v>
                </c:pt>
                <c:pt idx="11">
                  <c:v>2.5</c:v>
                </c:pt>
                <c:pt idx="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CC6-4012-A632-7AF46654FC66}"/>
            </c:ext>
          </c:extLst>
        </c:ser>
        <c:ser>
          <c:idx val="2"/>
          <c:order val="2"/>
          <c:tx>
            <c:v>Domanda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Foglio1!$L$7:$L$8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Foglio1!$M$7:$M$8</c:f>
              <c:numCache>
                <c:formatCode>General</c:formatCode>
                <c:ptCount val="2"/>
                <c:pt idx="0">
                  <c:v>30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CC6-4012-A632-7AF46654FC66}"/>
            </c:ext>
          </c:extLst>
        </c:ser>
        <c:ser>
          <c:idx val="3"/>
          <c:order val="3"/>
          <c:tx>
            <c:v>Domanda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Foglio1!$O$7:$O$10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xVal>
          <c:yVal>
            <c:numRef>
              <c:f>Foglio1!$P$7:$P$10</c:f>
              <c:numCache>
                <c:formatCode>General</c:formatCode>
                <c:ptCount val="4"/>
                <c:pt idx="0">
                  <c:v>30</c:v>
                </c:pt>
                <c:pt idx="1">
                  <c:v>20</c:v>
                </c:pt>
                <c:pt idx="2">
                  <c:v>10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CC6-4012-A632-7AF46654F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695535"/>
        <c:axId val="1378697615"/>
      </c:scatterChart>
      <c:valAx>
        <c:axId val="137869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Quantità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8697615"/>
        <c:crosses val="autoZero"/>
        <c:crossBetween val="midCat"/>
      </c:valAx>
      <c:valAx>
        <c:axId val="137869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Prezzo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8695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9525</xdr:rowOff>
    </xdr:from>
    <xdr:to>
      <xdr:col>7</xdr:col>
      <xdr:colOff>0</xdr:colOff>
      <xdr:row>20</xdr:row>
      <xdr:rowOff>19050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abSelected="1" workbookViewId="0">
      <selection activeCell="C18" sqref="C18"/>
    </sheetView>
  </sheetViews>
  <sheetFormatPr defaultRowHeight="15" x14ac:dyDescent="0.25"/>
  <cols>
    <col min="1" max="1" width="13.140625" bestFit="1" customWidth="1"/>
    <col min="3" max="3" width="13.140625" bestFit="1" customWidth="1"/>
    <col min="5" max="5" width="35.42578125" bestFit="1" customWidth="1"/>
    <col min="6" max="6" width="16.85546875" bestFit="1" customWidth="1"/>
  </cols>
  <sheetData>
    <row r="1" spans="1:16" x14ac:dyDescent="0.25">
      <c r="A1" s="1" t="s">
        <v>4</v>
      </c>
      <c r="C1" s="1" t="s">
        <v>3</v>
      </c>
      <c r="E1" s="2" t="s">
        <v>8</v>
      </c>
      <c r="F1" s="2" t="s">
        <v>9</v>
      </c>
    </row>
    <row r="2" spans="1:16" x14ac:dyDescent="0.25">
      <c r="A2" t="s">
        <v>5</v>
      </c>
      <c r="C2" t="s">
        <v>0</v>
      </c>
      <c r="E2" t="s">
        <v>10</v>
      </c>
    </row>
    <row r="3" spans="1:16" x14ac:dyDescent="0.25">
      <c r="A3" t="s">
        <v>6</v>
      </c>
      <c r="C3" t="s">
        <v>1</v>
      </c>
      <c r="E3" t="s">
        <v>11</v>
      </c>
    </row>
    <row r="4" spans="1:16" x14ac:dyDescent="0.25">
      <c r="A4" t="s">
        <v>7</v>
      </c>
      <c r="C4" t="s">
        <v>2</v>
      </c>
      <c r="E4" t="s">
        <v>13</v>
      </c>
    </row>
    <row r="5" spans="1:16" x14ac:dyDescent="0.25">
      <c r="A5" s="3" t="s">
        <v>14</v>
      </c>
      <c r="B5" s="3"/>
      <c r="E5" t="s">
        <v>12</v>
      </c>
      <c r="I5" s="3" t="s">
        <v>15</v>
      </c>
      <c r="J5" s="3"/>
      <c r="L5" s="3" t="s">
        <v>16</v>
      </c>
      <c r="M5" s="3"/>
      <c r="O5" s="3" t="s">
        <v>17</v>
      </c>
      <c r="P5" s="3"/>
    </row>
    <row r="6" spans="1:16" x14ac:dyDescent="0.25">
      <c r="A6" s="1" t="s">
        <v>4</v>
      </c>
      <c r="B6" s="1" t="s">
        <v>3</v>
      </c>
      <c r="I6" s="1" t="s">
        <v>4</v>
      </c>
      <c r="J6" s="1" t="s">
        <v>3</v>
      </c>
      <c r="L6" s="1" t="s">
        <v>4</v>
      </c>
      <c r="M6" s="1" t="s">
        <v>3</v>
      </c>
      <c r="O6" s="1" t="s">
        <v>4</v>
      </c>
      <c r="P6" s="1" t="s">
        <v>3</v>
      </c>
    </row>
    <row r="7" spans="1:16" x14ac:dyDescent="0.25">
      <c r="A7">
        <v>0</v>
      </c>
      <c r="B7">
        <f xml:space="preserve"> 30 - (3/8)*A7</f>
        <v>30</v>
      </c>
      <c r="I7">
        <v>0</v>
      </c>
      <c r="J7">
        <f xml:space="preserve"> 30 - (1/2) * I7</f>
        <v>30</v>
      </c>
      <c r="L7">
        <v>0</v>
      </c>
      <c r="M7">
        <f xml:space="preserve"> 30 - 6 * L7</f>
        <v>30</v>
      </c>
      <c r="O7">
        <v>0</v>
      </c>
      <c r="P7">
        <f xml:space="preserve"> 30 - 2 * O7</f>
        <v>30</v>
      </c>
    </row>
    <row r="8" spans="1:16" x14ac:dyDescent="0.25">
      <c r="A8">
        <v>5</v>
      </c>
      <c r="B8">
        <f t="shared" ref="B8:B23" si="0" xml:space="preserve"> 30 - (3/8)*A8</f>
        <v>28.125</v>
      </c>
      <c r="I8">
        <v>5</v>
      </c>
      <c r="J8">
        <f t="shared" ref="J8:J23" si="1" xml:space="preserve"> 30 - (1/2) * I8</f>
        <v>27.5</v>
      </c>
      <c r="L8">
        <v>5</v>
      </c>
      <c r="M8">
        <f t="shared" ref="M8:M23" si="2" xml:space="preserve"> 30 - 6 * L8</f>
        <v>0</v>
      </c>
      <c r="O8">
        <v>5</v>
      </c>
      <c r="P8">
        <f t="shared" ref="P8:P23" si="3" xml:space="preserve"> 30 - 2 * O8</f>
        <v>20</v>
      </c>
    </row>
    <row r="9" spans="1:16" x14ac:dyDescent="0.25">
      <c r="A9">
        <v>10</v>
      </c>
      <c r="B9">
        <f t="shared" si="0"/>
        <v>26.25</v>
      </c>
      <c r="I9">
        <v>10</v>
      </c>
      <c r="J9">
        <f t="shared" si="1"/>
        <v>25</v>
      </c>
      <c r="O9">
        <v>10</v>
      </c>
      <c r="P9">
        <f t="shared" si="3"/>
        <v>10</v>
      </c>
    </row>
    <row r="10" spans="1:16" x14ac:dyDescent="0.25">
      <c r="A10">
        <v>15</v>
      </c>
      <c r="B10">
        <f t="shared" si="0"/>
        <v>24.375</v>
      </c>
      <c r="I10">
        <v>15</v>
      </c>
      <c r="J10">
        <f t="shared" si="1"/>
        <v>22.5</v>
      </c>
      <c r="O10">
        <v>15</v>
      </c>
      <c r="P10">
        <f t="shared" si="3"/>
        <v>0</v>
      </c>
    </row>
    <row r="11" spans="1:16" x14ac:dyDescent="0.25">
      <c r="A11">
        <v>20</v>
      </c>
      <c r="B11">
        <f t="shared" si="0"/>
        <v>22.5</v>
      </c>
      <c r="I11">
        <v>20</v>
      </c>
      <c r="J11">
        <f t="shared" si="1"/>
        <v>20</v>
      </c>
    </row>
    <row r="12" spans="1:16" x14ac:dyDescent="0.25">
      <c r="A12">
        <v>25</v>
      </c>
      <c r="B12">
        <f t="shared" si="0"/>
        <v>20.625</v>
      </c>
      <c r="I12">
        <v>25</v>
      </c>
      <c r="J12">
        <f t="shared" si="1"/>
        <v>17.5</v>
      </c>
    </row>
    <row r="13" spans="1:16" x14ac:dyDescent="0.25">
      <c r="A13">
        <v>30</v>
      </c>
      <c r="B13">
        <f t="shared" si="0"/>
        <v>18.75</v>
      </c>
      <c r="I13">
        <v>30</v>
      </c>
      <c r="J13">
        <f t="shared" si="1"/>
        <v>15</v>
      </c>
    </row>
    <row r="14" spans="1:16" x14ac:dyDescent="0.25">
      <c r="A14">
        <v>35</v>
      </c>
      <c r="B14">
        <f t="shared" si="0"/>
        <v>16.875</v>
      </c>
      <c r="I14">
        <v>35</v>
      </c>
      <c r="J14">
        <f t="shared" si="1"/>
        <v>12.5</v>
      </c>
    </row>
    <row r="15" spans="1:16" x14ac:dyDescent="0.25">
      <c r="A15">
        <v>40</v>
      </c>
      <c r="B15">
        <f t="shared" si="0"/>
        <v>15</v>
      </c>
      <c r="I15">
        <v>40</v>
      </c>
      <c r="J15">
        <f t="shared" si="1"/>
        <v>10</v>
      </c>
    </row>
    <row r="16" spans="1:16" x14ac:dyDescent="0.25">
      <c r="A16">
        <v>45</v>
      </c>
      <c r="B16">
        <f t="shared" si="0"/>
        <v>13.125</v>
      </c>
      <c r="I16">
        <v>45</v>
      </c>
      <c r="J16">
        <f t="shared" si="1"/>
        <v>7.5</v>
      </c>
    </row>
    <row r="17" spans="1:10" x14ac:dyDescent="0.25">
      <c r="A17">
        <v>50</v>
      </c>
      <c r="B17">
        <f t="shared" si="0"/>
        <v>11.25</v>
      </c>
      <c r="I17">
        <v>50</v>
      </c>
      <c r="J17">
        <f t="shared" si="1"/>
        <v>5</v>
      </c>
    </row>
    <row r="18" spans="1:10" x14ac:dyDescent="0.25">
      <c r="A18">
        <v>55</v>
      </c>
      <c r="B18">
        <f t="shared" si="0"/>
        <v>9.375</v>
      </c>
      <c r="I18">
        <v>55</v>
      </c>
      <c r="J18">
        <f t="shared" si="1"/>
        <v>2.5</v>
      </c>
    </row>
    <row r="19" spans="1:10" x14ac:dyDescent="0.25">
      <c r="A19">
        <v>60</v>
      </c>
      <c r="B19">
        <f t="shared" si="0"/>
        <v>7.5</v>
      </c>
      <c r="I19">
        <v>60</v>
      </c>
      <c r="J19">
        <f t="shared" si="1"/>
        <v>0</v>
      </c>
    </row>
    <row r="20" spans="1:10" x14ac:dyDescent="0.25">
      <c r="A20">
        <v>65</v>
      </c>
      <c r="B20">
        <f t="shared" si="0"/>
        <v>5.625</v>
      </c>
    </row>
    <row r="21" spans="1:10" x14ac:dyDescent="0.25">
      <c r="A21">
        <v>70</v>
      </c>
      <c r="B21">
        <f t="shared" si="0"/>
        <v>3.75</v>
      </c>
    </row>
    <row r="22" spans="1:10" x14ac:dyDescent="0.25">
      <c r="A22">
        <v>75</v>
      </c>
      <c r="B22">
        <f t="shared" si="0"/>
        <v>1.875</v>
      </c>
    </row>
    <row r="23" spans="1:10" x14ac:dyDescent="0.25">
      <c r="A23">
        <v>80</v>
      </c>
      <c r="B23">
        <f t="shared" si="0"/>
        <v>0</v>
      </c>
    </row>
  </sheetData>
  <mergeCells count="4">
    <mergeCell ref="A5:B5"/>
    <mergeCell ref="I5:J5"/>
    <mergeCell ref="L5:M5"/>
    <mergeCell ref="O5:P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student974</dc:creator>
  <cp:lastModifiedBy>student974</cp:lastModifiedBy>
  <dcterms:created xsi:type="dcterms:W3CDTF">2026-10-15T11:30:57Z</dcterms:created>
  <dcterms:modified xsi:type="dcterms:W3CDTF">2026-10-15T11:56:10Z</dcterms:modified>
</cp:coreProperties>
</file>