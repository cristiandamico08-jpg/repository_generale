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8_{353A2B09-1964-443A-92D5-A035C2DD3599}" xr6:coauthVersionLast="47" xr6:coauthVersionMax="47" xr10:uidLastSave="{00000000-0000-0000-0000-000000000000}"/>
  <bookViews>
    <workbookView xWindow="-108" yWindow="-108" windowWidth="23256" windowHeight="12456" xr2:uid="{84D95693-0A19-4EDE-BAD0-94200A23B91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F16" i="1"/>
  <c r="G16" i="1" s="1"/>
  <c r="H16" i="1" s="1"/>
  <c r="I16" i="1" s="1"/>
  <c r="J16" i="1" s="1"/>
  <c r="E16" i="1"/>
  <c r="B12" i="1"/>
  <c r="F9" i="1"/>
  <c r="G9" i="1"/>
  <c r="H9" i="1"/>
  <c r="I9" i="1"/>
  <c r="J9" i="1"/>
  <c r="E9" i="1"/>
  <c r="B9" i="1"/>
  <c r="B8" i="1"/>
  <c r="B15" i="1" l="1"/>
</calcChain>
</file>

<file path=xl/sharedStrings.xml><?xml version="1.0" encoding="utf-8"?>
<sst xmlns="http://schemas.openxmlformats.org/spreadsheetml/2006/main" count="14" uniqueCount="9">
  <si>
    <t>Periodi (n)</t>
  </si>
  <si>
    <t>Ricavi (F)</t>
  </si>
  <si>
    <t>Investimento Iniziale (I)</t>
  </si>
  <si>
    <t>ROI</t>
  </si>
  <si>
    <t>anni</t>
  </si>
  <si>
    <t>Euro</t>
  </si>
  <si>
    <t>VAN=</t>
  </si>
  <si>
    <t>TIR=</t>
  </si>
  <si>
    <t>Payback Period=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</si>
</sst>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center"/>
    </xf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5DD4-1EC6-4CB2-BE47-E8FC477D2B68}">
  <dimension ref="A1:J17"/>
  <sheetViews>
    <sheetView tabSelected="1" workbookViewId="0">
      <selection activeCell="C16" sqref="C16"/>
    </sheetView>
  </sheetViews>
  <sheetFormatPr defaultRowHeight="14.4" x14ac:dyDescent="0.3"/>
  <cols>
    <col min="1" max="1" width="20.77734375" bestFit="1" customWidth="1"/>
  </cols>
  <sheetData>
    <row r="1" spans="1:10" x14ac:dyDescent="0.3">
      <c r="A1" s="1" t="s">
        <v>0</v>
      </c>
      <c r="B1">
        <v>6</v>
      </c>
      <c r="C1" s="3" t="s">
        <v>4</v>
      </c>
    </row>
    <row r="2" spans="1:10" x14ac:dyDescent="0.3">
      <c r="A2" s="1" t="s">
        <v>1</v>
      </c>
      <c r="B2">
        <v>2000</v>
      </c>
      <c r="C2" s="3" t="s">
        <v>5</v>
      </c>
    </row>
    <row r="3" spans="1:10" x14ac:dyDescent="0.3">
      <c r="A3" s="1" t="s">
        <v>2</v>
      </c>
      <c r="B3">
        <v>-5020</v>
      </c>
      <c r="C3" s="3" t="s">
        <v>5</v>
      </c>
    </row>
    <row r="4" spans="1:10" x14ac:dyDescent="0.3">
      <c r="A4" s="1" t="s">
        <v>3</v>
      </c>
      <c r="B4" s="2">
        <v>0.2</v>
      </c>
    </row>
    <row r="5" spans="1:10" x14ac:dyDescent="0.3">
      <c r="D5" s="6" t="s">
        <v>4</v>
      </c>
      <c r="E5" s="6"/>
      <c r="F5" s="6"/>
      <c r="G5" s="6"/>
      <c r="H5" s="6"/>
      <c r="I5" s="6"/>
      <c r="J5" s="6"/>
    </row>
    <row r="6" spans="1:10" x14ac:dyDescent="0.3">
      <c r="D6" s="1">
        <v>0</v>
      </c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</row>
    <row r="8" spans="1:10" x14ac:dyDescent="0.3">
      <c r="A8" s="4" t="s">
        <v>6</v>
      </c>
      <c r="B8">
        <f xml:space="preserve"> B3+B2/(1+B4)+B2/(1+B4)^F6+B2/(1+B4)^G6+B2/(1+B4)^H6+B2/(1+B4)^I6+B2/(1+B4)^J6</f>
        <v>1631.0202331961596</v>
      </c>
      <c r="C8" s="3" t="s">
        <v>5</v>
      </c>
      <c r="D8">
        <v>-5020</v>
      </c>
      <c r="E8">
        <v>2000</v>
      </c>
      <c r="F8">
        <v>2000</v>
      </c>
      <c r="G8">
        <v>2000</v>
      </c>
      <c r="H8">
        <v>2000</v>
      </c>
      <c r="I8">
        <v>2000</v>
      </c>
      <c r="J8">
        <v>2000</v>
      </c>
    </row>
    <row r="9" spans="1:10" x14ac:dyDescent="0.3">
      <c r="B9" s="5">
        <f>NPV(B4,B2,B2,B2,B2,B2,B2)+B3</f>
        <v>1631.02023319616</v>
      </c>
      <c r="C9" s="3" t="s">
        <v>5</v>
      </c>
      <c r="E9">
        <f>$B$2/(1+$B$4)^E6</f>
        <v>1666.6666666666667</v>
      </c>
      <c r="F9">
        <f t="shared" ref="F9:J9" si="0">$B$2/(1+$B$4)^F6</f>
        <v>1388.8888888888889</v>
      </c>
      <c r="G9">
        <f t="shared" si="0"/>
        <v>1157.4074074074074</v>
      </c>
      <c r="H9">
        <f t="shared" si="0"/>
        <v>964.50617283950623</v>
      </c>
      <c r="I9">
        <f t="shared" si="0"/>
        <v>803.75514403292186</v>
      </c>
      <c r="J9">
        <f t="shared" si="0"/>
        <v>669.79595336076818</v>
      </c>
    </row>
    <row r="12" spans="1:10" x14ac:dyDescent="0.3">
      <c r="A12" s="4" t="s">
        <v>7</v>
      </c>
      <c r="B12" s="7">
        <f>IRR(D12:J12)</f>
        <v>0.32467043517417205</v>
      </c>
      <c r="C12" s="3"/>
      <c r="D12">
        <v>-5020</v>
      </c>
      <c r="E12">
        <v>2000</v>
      </c>
      <c r="F12">
        <v>2000</v>
      </c>
      <c r="G12">
        <v>2000</v>
      </c>
      <c r="H12">
        <v>2000</v>
      </c>
      <c r="I12">
        <v>2000</v>
      </c>
      <c r="J12">
        <v>2000</v>
      </c>
    </row>
    <row r="15" spans="1:10" x14ac:dyDescent="0.3">
      <c r="A15" s="4" t="s">
        <v>8</v>
      </c>
      <c r="B15" s="5">
        <f>SUM(E17:J17)</f>
        <v>2.4900000000000002</v>
      </c>
      <c r="C15" s="3" t="s">
        <v>4</v>
      </c>
      <c r="E15">
        <v>2000</v>
      </c>
      <c r="F15">
        <v>2000</v>
      </c>
      <c r="G15">
        <v>2000</v>
      </c>
      <c r="H15">
        <v>2000</v>
      </c>
      <c r="I15">
        <v>2000</v>
      </c>
      <c r="J15">
        <v>2000</v>
      </c>
    </row>
    <row r="16" spans="1:10" x14ac:dyDescent="0.3">
      <c r="D16">
        <v>-5020</v>
      </c>
      <c r="E16">
        <f>E15+D16</f>
        <v>-3020</v>
      </c>
      <c r="F16">
        <f t="shared" ref="F16:J16" si="1">F15+E16</f>
        <v>-1020</v>
      </c>
      <c r="G16">
        <f t="shared" si="1"/>
        <v>980</v>
      </c>
      <c r="H16">
        <f t="shared" si="1"/>
        <v>2980</v>
      </c>
      <c r="I16">
        <f t="shared" si="1"/>
        <v>4980</v>
      </c>
      <c r="J16">
        <f t="shared" si="1"/>
        <v>6980</v>
      </c>
    </row>
    <row r="17" spans="5:10" x14ac:dyDescent="0.3">
      <c r="E17">
        <v>1</v>
      </c>
      <c r="F17">
        <v>1</v>
      </c>
      <c r="G17">
        <f>G16/B2</f>
        <v>0.49</v>
      </c>
      <c r="H17">
        <v>0</v>
      </c>
      <c r="I17">
        <v>0</v>
      </c>
      <c r="J17">
        <v>0</v>
      </c>
    </row>
  </sheetData>
  <mergeCells count="1">
    <mergeCell ref="D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2026-10-29T12:02:57Z</dcterms:created>
  <dcterms:modified xsi:type="dcterms:W3CDTF">2026-10-29T12:36:31Z</dcterms:modified>
</cp:coreProperties>
</file>