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\Desktop\repository_generale\5°anno\GPOI\"/>
    </mc:Choice>
  </mc:AlternateContent>
  <xr:revisionPtr revIDLastSave="0" documentId="8_{A03503A3-3373-4B52-BD9E-4BD9400B32E8}" xr6:coauthVersionLast="47" xr6:coauthVersionMax="47" xr10:uidLastSave="{00000000-0000-0000-0000-000000000000}"/>
  <bookViews>
    <workbookView xWindow="-108" yWindow="-108" windowWidth="23256" windowHeight="12456" xr2:uid="{3B13B113-1B28-408D-A234-82E26A5021EA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0" i="1" l="1"/>
  <c r="C10" i="1"/>
  <c r="B11" i="1"/>
  <c r="C11" i="1"/>
  <c r="B12" i="1"/>
  <c r="C12" i="1"/>
  <c r="B13" i="1"/>
  <c r="C13" i="1"/>
  <c r="B14" i="1"/>
  <c r="C14" i="1"/>
  <c r="B15" i="1"/>
  <c r="C15" i="1"/>
  <c r="B16" i="1"/>
  <c r="C16" i="1"/>
  <c r="B17" i="1"/>
  <c r="C17" i="1"/>
  <c r="B18" i="1"/>
  <c r="C18" i="1"/>
  <c r="B19" i="1"/>
  <c r="C19" i="1"/>
  <c r="B20" i="1"/>
  <c r="C20" i="1"/>
  <c r="B21" i="1"/>
  <c r="C21" i="1"/>
  <c r="B22" i="1"/>
  <c r="C22" i="1"/>
  <c r="B23" i="1"/>
  <c r="C23" i="1"/>
  <c r="B24" i="1"/>
  <c r="C24" i="1"/>
  <c r="B25" i="1"/>
  <c r="C25" i="1"/>
  <c r="C6" i="1"/>
  <c r="C7" i="1"/>
  <c r="C8" i="1"/>
  <c r="C9" i="1"/>
  <c r="C5" i="1"/>
  <c r="B6" i="1"/>
  <c r="B7" i="1"/>
  <c r="B8" i="1"/>
  <c r="B9" i="1"/>
  <c r="B5" i="1"/>
</calcChain>
</file>

<file path=xl/sharedStrings.xml><?xml version="1.0" encoding="utf-8"?>
<sst xmlns="http://schemas.openxmlformats.org/spreadsheetml/2006/main" count="5" uniqueCount="5">
  <si>
    <t>d = 90 - 4q</t>
  </si>
  <si>
    <t>o = 10 + (q^3/100)</t>
  </si>
  <si>
    <t>Quantità</t>
  </si>
  <si>
    <t>Domanda</t>
  </si>
  <si>
    <t>Offerta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</si>
</sst>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Prezzo</a:t>
            </a:r>
            <a:r>
              <a:rPr lang="it-IT" baseline="0"/>
              <a:t> di equilibrio e Spostamenti di domanda e/o offerta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Domanda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Foglio1!$A$5:$A$25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Foglio1!$B$5:$B$25</c:f>
              <c:numCache>
                <c:formatCode>General</c:formatCode>
                <c:ptCount val="21"/>
                <c:pt idx="0">
                  <c:v>90</c:v>
                </c:pt>
                <c:pt idx="1">
                  <c:v>86</c:v>
                </c:pt>
                <c:pt idx="2">
                  <c:v>82</c:v>
                </c:pt>
                <c:pt idx="3">
                  <c:v>78</c:v>
                </c:pt>
                <c:pt idx="4">
                  <c:v>74</c:v>
                </c:pt>
                <c:pt idx="5">
                  <c:v>70</c:v>
                </c:pt>
                <c:pt idx="6">
                  <c:v>66</c:v>
                </c:pt>
                <c:pt idx="7">
                  <c:v>62</c:v>
                </c:pt>
                <c:pt idx="8">
                  <c:v>58</c:v>
                </c:pt>
                <c:pt idx="9">
                  <c:v>54</c:v>
                </c:pt>
                <c:pt idx="10">
                  <c:v>50</c:v>
                </c:pt>
                <c:pt idx="11">
                  <c:v>46</c:v>
                </c:pt>
                <c:pt idx="12">
                  <c:v>42</c:v>
                </c:pt>
                <c:pt idx="13">
                  <c:v>38</c:v>
                </c:pt>
                <c:pt idx="14">
                  <c:v>34</c:v>
                </c:pt>
                <c:pt idx="15">
                  <c:v>30</c:v>
                </c:pt>
                <c:pt idx="16">
                  <c:v>26</c:v>
                </c:pt>
                <c:pt idx="17">
                  <c:v>22</c:v>
                </c:pt>
                <c:pt idx="18">
                  <c:v>18</c:v>
                </c:pt>
                <c:pt idx="19">
                  <c:v>14</c:v>
                </c:pt>
                <c:pt idx="20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258-4AEB-9178-F8EDC4B7E632}"/>
            </c:ext>
          </c:extLst>
        </c:ser>
        <c:ser>
          <c:idx val="1"/>
          <c:order val="1"/>
          <c:tx>
            <c:v>Offerta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Foglio1!$A$5:$A$25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Foglio1!$C$5:$C$25</c:f>
              <c:numCache>
                <c:formatCode>General</c:formatCode>
                <c:ptCount val="21"/>
                <c:pt idx="0">
                  <c:v>10</c:v>
                </c:pt>
                <c:pt idx="1">
                  <c:v>10.01</c:v>
                </c:pt>
                <c:pt idx="2">
                  <c:v>10.08</c:v>
                </c:pt>
                <c:pt idx="3">
                  <c:v>10.27</c:v>
                </c:pt>
                <c:pt idx="4">
                  <c:v>10.64</c:v>
                </c:pt>
                <c:pt idx="5">
                  <c:v>11.25</c:v>
                </c:pt>
                <c:pt idx="6">
                  <c:v>12.16</c:v>
                </c:pt>
                <c:pt idx="7">
                  <c:v>13.43</c:v>
                </c:pt>
                <c:pt idx="8">
                  <c:v>15.120000000000001</c:v>
                </c:pt>
                <c:pt idx="9">
                  <c:v>17.29</c:v>
                </c:pt>
                <c:pt idx="10">
                  <c:v>20</c:v>
                </c:pt>
                <c:pt idx="11">
                  <c:v>23.310000000000002</c:v>
                </c:pt>
                <c:pt idx="12">
                  <c:v>27.28</c:v>
                </c:pt>
                <c:pt idx="13">
                  <c:v>31.97</c:v>
                </c:pt>
                <c:pt idx="14">
                  <c:v>37.44</c:v>
                </c:pt>
                <c:pt idx="15">
                  <c:v>43.75</c:v>
                </c:pt>
                <c:pt idx="16">
                  <c:v>50.96</c:v>
                </c:pt>
                <c:pt idx="17">
                  <c:v>59.13</c:v>
                </c:pt>
                <c:pt idx="18">
                  <c:v>68.319999999999993</c:v>
                </c:pt>
                <c:pt idx="19">
                  <c:v>78.59</c:v>
                </c:pt>
                <c:pt idx="20">
                  <c:v>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258-4AEB-9178-F8EDC4B7E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7703983"/>
        <c:axId val="977703503"/>
      </c:scatterChart>
      <c:valAx>
        <c:axId val="977703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Quantità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77703503"/>
        <c:crosses val="autoZero"/>
        <c:crossBetween val="midCat"/>
      </c:valAx>
      <c:valAx>
        <c:axId val="97770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Prezzo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777039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2</xdr:row>
      <xdr:rowOff>171450</xdr:rowOff>
    </xdr:from>
    <xdr:to>
      <xdr:col>14</xdr:col>
      <xdr:colOff>0</xdr:colOff>
      <xdr:row>25</xdr:row>
      <xdr:rowOff>22860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C0AA162B-EAD6-6C5B-BA30-2B4E7FA2C5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B29BC-9FCA-4A5C-94A4-034D2B803B13}">
  <dimension ref="A1:R25"/>
  <sheetViews>
    <sheetView tabSelected="1" zoomScaleNormal="100" workbookViewId="0">
      <selection activeCell="R12" sqref="R12"/>
    </sheetView>
  </sheetViews>
  <sheetFormatPr defaultRowHeight="14.4" x14ac:dyDescent="0.3"/>
  <cols>
    <col min="1" max="1" width="15.21875" bestFit="1" customWidth="1"/>
  </cols>
  <sheetData>
    <row r="1" spans="1:18" x14ac:dyDescent="0.3">
      <c r="A1" t="s">
        <v>0</v>
      </c>
    </row>
    <row r="2" spans="1:18" x14ac:dyDescent="0.3">
      <c r="A2" t="s">
        <v>1</v>
      </c>
    </row>
    <row r="4" spans="1:18" x14ac:dyDescent="0.3">
      <c r="A4" s="1" t="s">
        <v>2</v>
      </c>
      <c r="B4" s="1" t="s">
        <v>3</v>
      </c>
      <c r="C4" s="1" t="s">
        <v>4</v>
      </c>
    </row>
    <row r="5" spans="1:18" x14ac:dyDescent="0.3">
      <c r="A5" s="2">
        <v>0</v>
      </c>
      <c r="B5" s="2">
        <f>90 - 4 * A5</f>
        <v>90</v>
      </c>
      <c r="C5" s="2">
        <f>10 + (A5^3/100)</f>
        <v>10</v>
      </c>
    </row>
    <row r="6" spans="1:18" x14ac:dyDescent="0.3">
      <c r="A6" s="2">
        <v>1</v>
      </c>
      <c r="B6" s="2">
        <f t="shared" ref="B6:B25" si="0">90 - 4 * A6</f>
        <v>86</v>
      </c>
      <c r="C6" s="2">
        <f t="shared" ref="C6:C25" si="1">10 + (A6^3/100)</f>
        <v>10.01</v>
      </c>
    </row>
    <row r="7" spans="1:18" x14ac:dyDescent="0.3">
      <c r="A7" s="2">
        <v>2</v>
      </c>
      <c r="B7" s="2">
        <f t="shared" si="0"/>
        <v>82</v>
      </c>
      <c r="C7" s="2">
        <f t="shared" si="1"/>
        <v>10.08</v>
      </c>
    </row>
    <row r="8" spans="1:18" x14ac:dyDescent="0.3">
      <c r="A8" s="2">
        <v>3</v>
      </c>
      <c r="B8" s="2">
        <f t="shared" si="0"/>
        <v>78</v>
      </c>
      <c r="C8" s="2">
        <f t="shared" si="1"/>
        <v>10.27</v>
      </c>
    </row>
    <row r="9" spans="1:18" x14ac:dyDescent="0.3">
      <c r="A9" s="2">
        <v>4</v>
      </c>
      <c r="B9" s="2">
        <f t="shared" si="0"/>
        <v>74</v>
      </c>
      <c r="C9" s="2">
        <f t="shared" si="1"/>
        <v>10.64</v>
      </c>
    </row>
    <row r="10" spans="1:18" x14ac:dyDescent="0.3">
      <c r="A10" s="2">
        <v>5</v>
      </c>
      <c r="B10" s="2">
        <f t="shared" si="0"/>
        <v>70</v>
      </c>
      <c r="C10" s="2">
        <f t="shared" ref="C10:C25" si="2">10 + (A10^3/100)</f>
        <v>11.25</v>
      </c>
    </row>
    <row r="11" spans="1:18" x14ac:dyDescent="0.3">
      <c r="A11" s="2">
        <v>6</v>
      </c>
      <c r="B11" s="2">
        <f t="shared" si="0"/>
        <v>66</v>
      </c>
      <c r="C11" s="2">
        <f t="shared" si="2"/>
        <v>12.16</v>
      </c>
    </row>
    <row r="12" spans="1:18" x14ac:dyDescent="0.3">
      <c r="A12" s="2">
        <v>7</v>
      </c>
      <c r="B12" s="2">
        <f t="shared" si="0"/>
        <v>62</v>
      </c>
      <c r="C12" s="2">
        <f t="shared" si="2"/>
        <v>13.43</v>
      </c>
      <c r="R12" s="4"/>
    </row>
    <row r="13" spans="1:18" x14ac:dyDescent="0.3">
      <c r="A13" s="2">
        <v>8</v>
      </c>
      <c r="B13" s="2">
        <f t="shared" si="0"/>
        <v>58</v>
      </c>
      <c r="C13" s="2">
        <f t="shared" si="2"/>
        <v>15.120000000000001</v>
      </c>
    </row>
    <row r="14" spans="1:18" x14ac:dyDescent="0.3">
      <c r="A14" s="2">
        <v>9</v>
      </c>
      <c r="B14" s="2">
        <f t="shared" si="0"/>
        <v>54</v>
      </c>
      <c r="C14" s="2">
        <f t="shared" si="2"/>
        <v>17.29</v>
      </c>
    </row>
    <row r="15" spans="1:18" x14ac:dyDescent="0.3">
      <c r="A15" s="2">
        <v>10</v>
      </c>
      <c r="B15" s="2">
        <f t="shared" si="0"/>
        <v>50</v>
      </c>
      <c r="C15" s="2">
        <f t="shared" si="2"/>
        <v>20</v>
      </c>
    </row>
    <row r="16" spans="1:18" x14ac:dyDescent="0.3">
      <c r="A16" s="2">
        <v>11</v>
      </c>
      <c r="B16" s="2">
        <f t="shared" si="0"/>
        <v>46</v>
      </c>
      <c r="C16" s="2">
        <f t="shared" si="2"/>
        <v>23.310000000000002</v>
      </c>
    </row>
    <row r="17" spans="1:3" x14ac:dyDescent="0.3">
      <c r="A17" s="2">
        <v>12</v>
      </c>
      <c r="B17" s="2">
        <f t="shared" si="0"/>
        <v>42</v>
      </c>
      <c r="C17" s="2">
        <f t="shared" si="2"/>
        <v>27.28</v>
      </c>
    </row>
    <row r="18" spans="1:3" x14ac:dyDescent="0.3">
      <c r="A18" s="2">
        <v>13</v>
      </c>
      <c r="B18" s="2">
        <f t="shared" si="0"/>
        <v>38</v>
      </c>
      <c r="C18" s="2">
        <f t="shared" si="2"/>
        <v>31.97</v>
      </c>
    </row>
    <row r="19" spans="1:3" x14ac:dyDescent="0.3">
      <c r="A19" s="2">
        <v>14</v>
      </c>
      <c r="B19" s="2">
        <f t="shared" si="0"/>
        <v>34</v>
      </c>
      <c r="C19" s="2">
        <f t="shared" si="2"/>
        <v>37.44</v>
      </c>
    </row>
    <row r="20" spans="1:3" x14ac:dyDescent="0.3">
      <c r="A20" s="2">
        <v>15</v>
      </c>
      <c r="B20" s="2">
        <f t="shared" si="0"/>
        <v>30</v>
      </c>
      <c r="C20" s="2">
        <f t="shared" si="2"/>
        <v>43.75</v>
      </c>
    </row>
    <row r="21" spans="1:3" x14ac:dyDescent="0.3">
      <c r="A21" s="2">
        <v>16</v>
      </c>
      <c r="B21" s="2">
        <f t="shared" si="0"/>
        <v>26</v>
      </c>
      <c r="C21" s="2">
        <f t="shared" si="2"/>
        <v>50.96</v>
      </c>
    </row>
    <row r="22" spans="1:3" x14ac:dyDescent="0.3">
      <c r="A22" s="2">
        <v>17</v>
      </c>
      <c r="B22" s="2">
        <f t="shared" si="0"/>
        <v>22</v>
      </c>
      <c r="C22" s="2">
        <f t="shared" si="2"/>
        <v>59.13</v>
      </c>
    </row>
    <row r="23" spans="1:3" x14ac:dyDescent="0.3">
      <c r="A23" s="3">
        <v>18</v>
      </c>
      <c r="B23" s="3">
        <f t="shared" si="0"/>
        <v>18</v>
      </c>
      <c r="C23" s="3">
        <f t="shared" si="2"/>
        <v>68.319999999999993</v>
      </c>
    </row>
    <row r="24" spans="1:3" x14ac:dyDescent="0.3">
      <c r="A24" s="2">
        <v>19</v>
      </c>
      <c r="B24" s="2">
        <f t="shared" si="0"/>
        <v>14</v>
      </c>
      <c r="C24" s="2">
        <f t="shared" si="2"/>
        <v>78.59</v>
      </c>
    </row>
    <row r="25" spans="1:3" x14ac:dyDescent="0.3">
      <c r="A25" s="2">
        <v>20</v>
      </c>
      <c r="B25" s="2">
        <f t="shared" si="0"/>
        <v>10</v>
      </c>
      <c r="C25" s="2">
        <f t="shared" si="2"/>
        <v>90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Dylan D’Amico</dc:creator>
  <cp:lastModifiedBy>Cristian Dylan D’Amico</cp:lastModifiedBy>
  <dcterms:created xsi:type="dcterms:W3CDTF">2026-10-22T11:00:45Z</dcterms:created>
  <dcterms:modified xsi:type="dcterms:W3CDTF">2026-10-22T11:13:08Z</dcterms:modified>
</cp:coreProperties>
</file>